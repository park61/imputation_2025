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workspace\Imputation\test_by_sparcity\"/>
    </mc:Choice>
  </mc:AlternateContent>
  <xr:revisionPtr revIDLastSave="0" documentId="8_{5679016C-77C5-4E9E-9B79-20E5A72FCD8D}" xr6:coauthVersionLast="47" xr6:coauthVersionMax="47" xr10:uidLastSave="{00000000-0000-0000-0000-000000000000}"/>
  <bookViews>
    <workbookView xWindow="38290" yWindow="-110" windowWidth="38620" windowHeight="21100" xr2:uid="{2EB249B3-1D74-4A7C-B546-29564FB2A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I20" i="1"/>
  <c r="H20" i="1"/>
  <c r="G20" i="1"/>
  <c r="F20" i="1"/>
  <c r="E20" i="1"/>
  <c r="D20" i="1"/>
  <c r="C20" i="1"/>
  <c r="N14" i="1"/>
  <c r="M14" i="1"/>
  <c r="L14" i="1"/>
  <c r="K14" i="1"/>
  <c r="J14" i="1"/>
  <c r="I14" i="1"/>
  <c r="H14" i="1"/>
  <c r="G14" i="1"/>
  <c r="F14" i="1"/>
  <c r="E14" i="1"/>
  <c r="D14" i="1"/>
  <c r="C14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<sst xmlns="http://schemas.openxmlformats.org/spreadsheetml/2006/main" count="22" uniqueCount="11">
  <si>
    <t>Setting</t>
    <phoneticPr fontId="1" type="noConversion"/>
  </si>
  <si>
    <t>Acc</t>
    <phoneticPr fontId="1" type="noConversion"/>
  </si>
  <si>
    <t>RMSE</t>
    <phoneticPr fontId="1" type="noConversion"/>
  </si>
  <si>
    <t>MAD</t>
    <phoneticPr fontId="1" type="noConversion"/>
  </si>
  <si>
    <t>Time (sec.)</t>
    <phoneticPr fontId="1" type="noConversion"/>
  </si>
  <si>
    <t>n</t>
    <phoneticPr fontId="1" type="noConversion"/>
  </si>
  <si>
    <t>m</t>
    <phoneticPr fontId="1" type="noConversion"/>
  </si>
  <si>
    <t>softImpute</t>
    <phoneticPr fontId="1" type="noConversion"/>
  </si>
  <si>
    <t>monoImpute</t>
    <phoneticPr fontId="1" type="noConversion"/>
  </si>
  <si>
    <t>Average</t>
    <phoneticPr fontId="1" type="noConversion"/>
  </si>
  <si>
    <t>MissForest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</si>
</sst>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Segoe UI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Segoe UI"/>
      <family val="2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 wrapText="1"/>
    </xf>
    <xf numFmtId="0" fontId="7" fillId="0" borderId="0" xfId="0" applyFont="1">
      <alignment vertical="center"/>
    </xf>
    <xf numFmtId="176" fontId="2" fillId="0" borderId="1" xfId="0" applyNumberFormat="1" applyFont="1" applyBorder="1" applyAlignment="1">
      <alignment horizontal="right" vertical="center" wrapText="1"/>
    </xf>
    <xf numFmtId="176" fontId="6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2A66-8814-4F17-8BF3-EABD91240DCA}">
  <dimension ref="A1:O22"/>
  <sheetViews>
    <sheetView tabSelected="1" workbookViewId="0">
      <selection activeCell="D25" sqref="D25"/>
    </sheetView>
  </sheetViews>
  <sheetFormatPr defaultRowHeight="17"/>
  <cols>
    <col min="3" max="3" width="8.9140625" bestFit="1" customWidth="1"/>
    <col min="4" max="4" width="9.4140625" bestFit="1" customWidth="1"/>
    <col min="5" max="5" width="11.1640625" bestFit="1" customWidth="1"/>
    <col min="6" max="6" width="8.9140625" bestFit="1" customWidth="1"/>
    <col min="7" max="7" width="9.4140625" bestFit="1" customWidth="1"/>
    <col min="8" max="8" width="11.1640625" bestFit="1" customWidth="1"/>
    <col min="9" max="9" width="8.9140625" bestFit="1" customWidth="1"/>
    <col min="10" max="10" width="9.4140625" bestFit="1" customWidth="1"/>
    <col min="11" max="11" width="11.1640625" bestFit="1" customWidth="1"/>
    <col min="12" max="12" width="11.08203125" bestFit="1" customWidth="1"/>
    <col min="13" max="13" width="10.75" bestFit="1" customWidth="1"/>
    <col min="14" max="14" width="11.1640625" bestFit="1" customWidth="1"/>
  </cols>
  <sheetData>
    <row r="1" spans="1:15">
      <c r="A1" s="10" t="s">
        <v>0</v>
      </c>
      <c r="B1" s="10"/>
      <c r="C1" s="10" t="s">
        <v>1</v>
      </c>
      <c r="D1" s="10"/>
      <c r="E1" s="10"/>
      <c r="F1" s="10" t="s">
        <v>2</v>
      </c>
      <c r="G1" s="10"/>
      <c r="H1" s="10"/>
      <c r="I1" s="10" t="s">
        <v>3</v>
      </c>
      <c r="J1" s="10"/>
      <c r="K1" s="10"/>
      <c r="L1" s="10" t="s">
        <v>4</v>
      </c>
      <c r="M1" s="10"/>
      <c r="N1" s="10"/>
    </row>
    <row r="2" spans="1:15">
      <c r="A2" s="1" t="s">
        <v>5</v>
      </c>
      <c r="B2" s="1" t="s">
        <v>6</v>
      </c>
      <c r="C2" s="4" t="s">
        <v>10</v>
      </c>
      <c r="D2" s="5" t="s">
        <v>7</v>
      </c>
      <c r="E2" s="5" t="s">
        <v>8</v>
      </c>
      <c r="F2" s="4" t="s">
        <v>10</v>
      </c>
      <c r="G2" s="5" t="s">
        <v>7</v>
      </c>
      <c r="H2" s="5" t="s">
        <v>8</v>
      </c>
      <c r="I2" s="4" t="s">
        <v>10</v>
      </c>
      <c r="J2" s="5" t="s">
        <v>7</v>
      </c>
      <c r="K2" s="5" t="s">
        <v>8</v>
      </c>
      <c r="L2" s="4" t="s">
        <v>10</v>
      </c>
      <c r="M2" s="5" t="s">
        <v>7</v>
      </c>
      <c r="N2" s="5" t="s">
        <v>8</v>
      </c>
    </row>
    <row r="3" spans="1:15" ht="17.5">
      <c r="A3" s="2">
        <v>100</v>
      </c>
      <c r="B3" s="2">
        <v>50</v>
      </c>
      <c r="C3" s="3">
        <v>0.46807500000000002</v>
      </c>
      <c r="D3" s="3">
        <v>0.43229699999999999</v>
      </c>
      <c r="E3" s="6">
        <v>0.52248099999999997</v>
      </c>
      <c r="F3" s="3">
        <v>0.95223500000000005</v>
      </c>
      <c r="G3" s="3">
        <v>0.94027899999999998</v>
      </c>
      <c r="H3" s="6">
        <v>0.87059699999999995</v>
      </c>
      <c r="I3" s="3">
        <v>0.64500599999999997</v>
      </c>
      <c r="J3" s="3">
        <v>0.66815899999999995</v>
      </c>
      <c r="K3" s="6">
        <v>0.562724</v>
      </c>
      <c r="L3" s="3">
        <v>29.395311</v>
      </c>
      <c r="M3" s="6">
        <v>0.31399500000000002</v>
      </c>
      <c r="N3" s="3">
        <v>6.4706830000000002</v>
      </c>
      <c r="O3" s="7"/>
    </row>
    <row r="4" spans="1:15" ht="17.5">
      <c r="A4" s="2">
        <v>100</v>
      </c>
      <c r="B4" s="2">
        <v>100</v>
      </c>
      <c r="C4" s="3">
        <v>0.45695400000000003</v>
      </c>
      <c r="D4" s="3">
        <v>0.44905070000000002</v>
      </c>
      <c r="E4" s="6">
        <v>0.54981800000000003</v>
      </c>
      <c r="F4" s="3">
        <v>0.938554</v>
      </c>
      <c r="G4" s="3">
        <v>0.90713679999999997</v>
      </c>
      <c r="H4" s="6">
        <v>0.83552300000000002</v>
      </c>
      <c r="I4" s="3">
        <v>0.64578500000000005</v>
      </c>
      <c r="J4" s="3">
        <v>0.63731450000000012</v>
      </c>
      <c r="K4" s="6">
        <v>0.52610500000000004</v>
      </c>
      <c r="L4" s="3">
        <v>84.838257999999996</v>
      </c>
      <c r="M4" s="6">
        <v>0.74401870000000003</v>
      </c>
      <c r="N4" s="3">
        <v>11.904019</v>
      </c>
      <c r="O4" s="7"/>
    </row>
    <row r="5" spans="1:15" ht="17.5">
      <c r="A5" s="2">
        <v>100</v>
      </c>
      <c r="B5" s="2">
        <v>300</v>
      </c>
      <c r="C5" s="3">
        <v>0.44808599999999998</v>
      </c>
      <c r="D5" s="3">
        <v>0.43992170000000003</v>
      </c>
      <c r="E5" s="6">
        <v>0.57140400000000002</v>
      </c>
      <c r="F5" s="3">
        <v>0.96426100000000003</v>
      </c>
      <c r="G5" s="3">
        <v>0.9187557999999999</v>
      </c>
      <c r="H5" s="6">
        <v>0.77058899999999997</v>
      </c>
      <c r="I5" s="3">
        <v>0.667184</v>
      </c>
      <c r="J5" s="3">
        <v>0.64930540000000003</v>
      </c>
      <c r="K5" s="6">
        <v>0.47964899999999999</v>
      </c>
      <c r="L5" s="3">
        <v>274.89137699999998</v>
      </c>
      <c r="M5" s="6">
        <v>3.1677074000000003</v>
      </c>
      <c r="N5" s="3">
        <v>33.384830999999998</v>
      </c>
      <c r="O5" s="7"/>
    </row>
    <row r="6" spans="1:15" ht="17.5">
      <c r="A6" s="2">
        <v>100</v>
      </c>
      <c r="B6" s="2">
        <v>500</v>
      </c>
      <c r="C6" s="3">
        <v>0.44038500000000003</v>
      </c>
      <c r="D6" s="3">
        <v>0.42799719999999997</v>
      </c>
      <c r="E6" s="6">
        <v>0.53170899999999999</v>
      </c>
      <c r="F6" s="3">
        <v>0.98940499999999998</v>
      </c>
      <c r="G6" s="6">
        <v>0.93347319999999989</v>
      </c>
      <c r="H6" s="3">
        <v>0.941137</v>
      </c>
      <c r="I6" s="3">
        <v>0.68666499999999997</v>
      </c>
      <c r="J6" s="3">
        <v>0.66620160000000006</v>
      </c>
      <c r="K6" s="6">
        <v>0.58384100000000005</v>
      </c>
      <c r="L6" s="3">
        <v>500.32098100000002</v>
      </c>
      <c r="M6" s="6">
        <v>6.3785410000000002</v>
      </c>
      <c r="N6" s="3">
        <v>50.696182</v>
      </c>
      <c r="O6" s="7"/>
    </row>
    <row r="7" spans="1:15" ht="17.5">
      <c r="A7" s="2">
        <v>100</v>
      </c>
      <c r="B7" s="2">
        <v>700</v>
      </c>
      <c r="C7" s="3">
        <v>0.44787399999999999</v>
      </c>
      <c r="D7" s="3">
        <v>0.42505599999999999</v>
      </c>
      <c r="E7" s="6">
        <v>0.45621099999999998</v>
      </c>
      <c r="F7" s="3">
        <v>0.98111899999999996</v>
      </c>
      <c r="G7" s="6">
        <v>0.95021699999999998</v>
      </c>
      <c r="H7" s="3">
        <v>1.158625</v>
      </c>
      <c r="I7" s="6">
        <v>0.67652800000000002</v>
      </c>
      <c r="J7" s="3">
        <v>0.67780700000000005</v>
      </c>
      <c r="K7" s="3">
        <v>0.76041199999999998</v>
      </c>
      <c r="L7" s="3">
        <v>691.42442900000003</v>
      </c>
      <c r="M7" s="6">
        <v>8.534618</v>
      </c>
      <c r="N7" s="3">
        <v>64.390343000000001</v>
      </c>
      <c r="O7" s="7"/>
    </row>
    <row r="8" spans="1:15" ht="17.5">
      <c r="A8" s="10" t="s">
        <v>9</v>
      </c>
      <c r="B8" s="10"/>
      <c r="C8" s="8">
        <f t="shared" ref="C8:N8" si="0">AVERAGE(C3:C7)</f>
        <v>0.45227479999999998</v>
      </c>
      <c r="D8" s="8">
        <f t="shared" si="0"/>
        <v>0.43486451999999998</v>
      </c>
      <c r="E8" s="9">
        <f t="shared" si="0"/>
        <v>0.52632460000000003</v>
      </c>
      <c r="F8" s="8">
        <f t="shared" si="0"/>
        <v>0.96511480000000005</v>
      </c>
      <c r="G8" s="8">
        <f t="shared" si="0"/>
        <v>0.92997236000000005</v>
      </c>
      <c r="H8" s="9">
        <f t="shared" si="0"/>
        <v>0.91529419999999995</v>
      </c>
      <c r="I8" s="8">
        <f t="shared" si="0"/>
        <v>0.66423359999999998</v>
      </c>
      <c r="J8" s="8">
        <f t="shared" si="0"/>
        <v>0.65975750000000011</v>
      </c>
      <c r="K8" s="9">
        <f t="shared" si="0"/>
        <v>0.58254620000000013</v>
      </c>
      <c r="L8" s="8">
        <f t="shared" si="0"/>
        <v>316.17407119999996</v>
      </c>
      <c r="M8" s="9">
        <f t="shared" si="0"/>
        <v>3.8277760200000004</v>
      </c>
      <c r="N8" s="8">
        <f t="shared" si="0"/>
        <v>33.3692116</v>
      </c>
      <c r="O8" s="7"/>
    </row>
    <row r="9" spans="1:15" ht="17.5">
      <c r="A9" s="2">
        <v>500</v>
      </c>
      <c r="B9" s="2">
        <v>50</v>
      </c>
      <c r="C9" s="3">
        <v>0.42530499999999999</v>
      </c>
      <c r="D9" s="3">
        <v>0.410381</v>
      </c>
      <c r="E9" s="6">
        <v>0.46362799999999998</v>
      </c>
      <c r="F9" s="3">
        <v>1.012356</v>
      </c>
      <c r="G9" s="3">
        <v>0.96413800000000005</v>
      </c>
      <c r="H9" s="6">
        <v>0.94275900000000001</v>
      </c>
      <c r="I9" s="3">
        <v>0.70886199999999999</v>
      </c>
      <c r="J9" s="3">
        <v>0.69813700000000001</v>
      </c>
      <c r="K9" s="6">
        <v>0.64444000000000001</v>
      </c>
      <c r="L9" s="3">
        <v>65.856092000000004</v>
      </c>
      <c r="M9" s="6">
        <v>1.8423860000000001</v>
      </c>
      <c r="N9" s="3">
        <v>22.815494000000001</v>
      </c>
      <c r="O9" s="7"/>
    </row>
    <row r="10" spans="1:15" ht="17.5">
      <c r="A10" s="2">
        <v>500</v>
      </c>
      <c r="B10" s="2">
        <v>100</v>
      </c>
      <c r="C10" s="3">
        <v>0.43452499999999999</v>
      </c>
      <c r="D10" s="3">
        <v>0.43473810000000002</v>
      </c>
      <c r="E10" s="6">
        <v>0.48254599999999997</v>
      </c>
      <c r="F10" s="3">
        <v>0.99245099999999997</v>
      </c>
      <c r="G10" s="3">
        <v>0.92969489999999999</v>
      </c>
      <c r="H10" s="6">
        <v>0.90523699999999996</v>
      </c>
      <c r="I10" s="3">
        <v>0.69199699999999997</v>
      </c>
      <c r="J10" s="3">
        <v>0.6610473</v>
      </c>
      <c r="K10" s="6">
        <v>0.61034500000000003</v>
      </c>
      <c r="L10" s="3">
        <v>121.65518400000001</v>
      </c>
      <c r="M10" s="6">
        <v>4.6528428000000002</v>
      </c>
      <c r="N10" s="3">
        <v>41.596393999999997</v>
      </c>
      <c r="O10" s="7"/>
    </row>
    <row r="11" spans="1:15" ht="17.5">
      <c r="A11" s="2">
        <v>500</v>
      </c>
      <c r="B11" s="2">
        <v>300</v>
      </c>
      <c r="C11" s="3">
        <v>0.42435600000000001</v>
      </c>
      <c r="D11" s="3">
        <v>0.43978</v>
      </c>
      <c r="E11" s="6">
        <v>0.50762300000000005</v>
      </c>
      <c r="F11" s="3">
        <v>1.03355</v>
      </c>
      <c r="G11" s="3">
        <v>0.92048799999999997</v>
      </c>
      <c r="H11" s="6">
        <v>0.86443000000000003</v>
      </c>
      <c r="I11" s="3">
        <v>0.72242099999999998</v>
      </c>
      <c r="J11" s="3">
        <v>0.65152500000000002</v>
      </c>
      <c r="K11" s="6">
        <v>0.57144799999999996</v>
      </c>
      <c r="L11" s="3">
        <v>479.36407800000001</v>
      </c>
      <c r="M11" s="6">
        <v>18.280524</v>
      </c>
      <c r="N11" s="3">
        <v>101.895932</v>
      </c>
      <c r="O11" s="7"/>
    </row>
    <row r="12" spans="1:15" ht="17.5">
      <c r="A12" s="2">
        <v>500</v>
      </c>
      <c r="B12" s="2">
        <v>500</v>
      </c>
      <c r="C12" s="3">
        <v>0.42280299999999998</v>
      </c>
      <c r="D12" s="3">
        <v>0.43325569999999997</v>
      </c>
      <c r="E12" s="6">
        <v>0.52269900000000002</v>
      </c>
      <c r="F12" s="3">
        <v>1.0621640000000001</v>
      </c>
      <c r="G12" s="3">
        <v>0.92829469999999981</v>
      </c>
      <c r="H12" s="6">
        <v>0.85698200000000002</v>
      </c>
      <c r="I12" s="3">
        <v>0.73970499999999995</v>
      </c>
      <c r="J12" s="3">
        <v>0.66091450000000007</v>
      </c>
      <c r="K12" s="6">
        <v>0.55447500000000005</v>
      </c>
      <c r="L12" s="3">
        <v>885.27400599999999</v>
      </c>
      <c r="M12" s="6">
        <v>37.428173999999999</v>
      </c>
      <c r="N12" s="3">
        <v>150.02312900000001</v>
      </c>
      <c r="O12" s="7"/>
    </row>
    <row r="13" spans="1:15" ht="17.5">
      <c r="A13" s="2">
        <v>500</v>
      </c>
      <c r="B13" s="2">
        <v>700</v>
      </c>
      <c r="C13" s="3">
        <v>0.419904</v>
      </c>
      <c r="D13" s="3">
        <v>0.42435</v>
      </c>
      <c r="E13" s="6">
        <v>0.493703</v>
      </c>
      <c r="F13" s="3">
        <v>1.0648120000000001</v>
      </c>
      <c r="G13" s="6">
        <v>0.94620800000000005</v>
      </c>
      <c r="H13" s="3">
        <v>0.96202699999999997</v>
      </c>
      <c r="I13" s="3">
        <v>0.74361699999999997</v>
      </c>
      <c r="J13" s="3">
        <v>0.67734700000000003</v>
      </c>
      <c r="K13" s="6">
        <v>0.62488100000000002</v>
      </c>
      <c r="L13" s="3">
        <v>1260.5559909999999</v>
      </c>
      <c r="M13" s="6">
        <v>53.570397</v>
      </c>
      <c r="N13" s="3">
        <v>194.00512900000001</v>
      </c>
      <c r="O13" s="7"/>
    </row>
    <row r="14" spans="1:15" ht="17.5">
      <c r="A14" s="10" t="s">
        <v>9</v>
      </c>
      <c r="B14" s="10"/>
      <c r="C14" s="8">
        <f>AVERAGE(C9:C13)</f>
        <v>0.4253786</v>
      </c>
      <c r="D14" s="8">
        <f t="shared" ref="D14:N14" si="1">AVERAGE(D9:D13)</f>
        <v>0.42850096000000004</v>
      </c>
      <c r="E14" s="9">
        <f t="shared" si="1"/>
        <v>0.49403980000000003</v>
      </c>
      <c r="F14" s="8">
        <f t="shared" si="1"/>
        <v>1.0330666000000002</v>
      </c>
      <c r="G14" s="8">
        <f t="shared" si="1"/>
        <v>0.93776472</v>
      </c>
      <c r="H14" s="9">
        <f t="shared" si="1"/>
        <v>0.90628700000000006</v>
      </c>
      <c r="I14" s="8">
        <f t="shared" si="1"/>
        <v>0.72132039999999997</v>
      </c>
      <c r="J14" s="8">
        <f t="shared" si="1"/>
        <v>0.66979416000000003</v>
      </c>
      <c r="K14" s="9">
        <f t="shared" si="1"/>
        <v>0.60111780000000015</v>
      </c>
      <c r="L14" s="8">
        <f t="shared" si="1"/>
        <v>562.54107019999992</v>
      </c>
      <c r="M14" s="9">
        <f t="shared" si="1"/>
        <v>23.154864759999999</v>
      </c>
      <c r="N14" s="8">
        <f t="shared" si="1"/>
        <v>102.06721560000001</v>
      </c>
      <c r="O14" s="7"/>
    </row>
    <row r="15" spans="1:15" ht="17.5">
      <c r="A15" s="2">
        <v>1000</v>
      </c>
      <c r="B15" s="2">
        <v>50</v>
      </c>
      <c r="C15" s="3">
        <v>0.418854</v>
      </c>
      <c r="D15" s="3">
        <v>0.406252</v>
      </c>
      <c r="E15" s="6">
        <v>0.43947399999999998</v>
      </c>
      <c r="F15" s="3">
        <v>1.053858</v>
      </c>
      <c r="G15" s="6">
        <v>1.0004690000000001</v>
      </c>
      <c r="H15" s="3">
        <v>1.017854</v>
      </c>
      <c r="I15" s="3">
        <v>0.73765599999999998</v>
      </c>
      <c r="J15" s="3">
        <v>0.72058199999999994</v>
      </c>
      <c r="K15" s="6">
        <v>0.70083499999999999</v>
      </c>
      <c r="L15" s="3">
        <v>71.206387000000007</v>
      </c>
      <c r="M15" s="6">
        <v>3.5869620000000002</v>
      </c>
      <c r="N15" s="3">
        <v>45.333021000000002</v>
      </c>
      <c r="O15" s="7"/>
    </row>
    <row r="16" spans="1:15" ht="17.5">
      <c r="A16" s="2">
        <v>1000</v>
      </c>
      <c r="B16" s="2">
        <v>100</v>
      </c>
      <c r="C16" s="3">
        <v>0.42822900000000003</v>
      </c>
      <c r="D16" s="3">
        <v>0.42564419999999997</v>
      </c>
      <c r="E16" s="6">
        <v>0.47834300000000002</v>
      </c>
      <c r="F16" s="3">
        <v>1.036829</v>
      </c>
      <c r="G16" s="3">
        <v>0.95767120000000028</v>
      </c>
      <c r="H16" s="6">
        <v>0.92958799999999997</v>
      </c>
      <c r="I16" s="3">
        <v>0.72092999999999996</v>
      </c>
      <c r="J16" s="3">
        <v>0.68198769999999997</v>
      </c>
      <c r="K16" s="6">
        <v>0.62520299999999995</v>
      </c>
      <c r="L16" s="3">
        <v>150.444715</v>
      </c>
      <c r="M16" s="6">
        <v>8.6368815999999988</v>
      </c>
      <c r="N16" s="3">
        <v>63.587505999999998</v>
      </c>
      <c r="O16" s="7"/>
    </row>
    <row r="17" spans="1:15" ht="17.5">
      <c r="A17" s="2">
        <v>1000</v>
      </c>
      <c r="B17" s="2">
        <v>300</v>
      </c>
      <c r="C17" s="3">
        <v>0.41903200000000002</v>
      </c>
      <c r="D17" s="3">
        <v>0.43145709999999998</v>
      </c>
      <c r="E17" s="6">
        <v>0.49907699999999999</v>
      </c>
      <c r="F17" s="3">
        <v>1.072662</v>
      </c>
      <c r="G17" s="3">
        <v>0.9437778</v>
      </c>
      <c r="H17" s="6">
        <v>0.89011799999999996</v>
      </c>
      <c r="I17" s="3">
        <v>0.74864600000000003</v>
      </c>
      <c r="J17" s="3">
        <v>0.67041489999999992</v>
      </c>
      <c r="K17" s="6">
        <v>0.59035400000000005</v>
      </c>
      <c r="L17" s="3">
        <v>591.091679</v>
      </c>
      <c r="M17" s="6">
        <v>32.6391536</v>
      </c>
      <c r="N17" s="3">
        <v>159.34689299999999</v>
      </c>
      <c r="O17" s="7"/>
    </row>
    <row r="18" spans="1:15" ht="17.5">
      <c r="A18" s="2">
        <v>1000</v>
      </c>
      <c r="B18" s="2">
        <v>500</v>
      </c>
      <c r="C18" s="3">
        <v>0.41551700000000003</v>
      </c>
      <c r="D18" s="3">
        <v>0.42137999999999998</v>
      </c>
      <c r="E18" s="6">
        <v>0.511652</v>
      </c>
      <c r="F18" s="3">
        <v>1.0897619999999999</v>
      </c>
      <c r="G18" s="3">
        <v>0.96704100000000004</v>
      </c>
      <c r="H18" s="6">
        <v>0.88214099999999995</v>
      </c>
      <c r="I18" s="3">
        <v>0.76125799999999999</v>
      </c>
      <c r="J18" s="3">
        <v>0.69125999999999999</v>
      </c>
      <c r="K18" s="6">
        <v>0.57565200000000005</v>
      </c>
      <c r="L18" s="3">
        <v>1043.7804679999999</v>
      </c>
      <c r="M18" s="6">
        <v>65.505905999999996</v>
      </c>
      <c r="N18" s="3">
        <v>220.21793299999999</v>
      </c>
      <c r="O18" s="7"/>
    </row>
    <row r="19" spans="1:15" ht="17.5">
      <c r="A19" s="2">
        <v>1000</v>
      </c>
      <c r="B19" s="2">
        <v>700</v>
      </c>
      <c r="C19" s="3">
        <v>0.41494900000000001</v>
      </c>
      <c r="D19" s="3">
        <v>0.412163</v>
      </c>
      <c r="E19" s="6">
        <v>0.489228</v>
      </c>
      <c r="F19" s="3">
        <v>1.091213</v>
      </c>
      <c r="G19" s="3">
        <v>0.993336</v>
      </c>
      <c r="H19" s="6">
        <v>0.961175</v>
      </c>
      <c r="I19" s="3">
        <v>0.76206799999999997</v>
      </c>
      <c r="J19" s="3">
        <v>0.71291899999999997</v>
      </c>
      <c r="K19" s="6">
        <v>0.62883900000000004</v>
      </c>
      <c r="L19" s="3">
        <v>1536.5408090000001</v>
      </c>
      <c r="M19" s="6">
        <v>104.574395</v>
      </c>
      <c r="N19" s="3">
        <v>282.130515</v>
      </c>
      <c r="O19" s="7"/>
    </row>
    <row r="20" spans="1:15" ht="17.5">
      <c r="A20" s="10" t="s">
        <v>9</v>
      </c>
      <c r="B20" s="10"/>
      <c r="C20" s="8">
        <f>AVERAGE(C15:C19)</f>
        <v>0.41931620000000003</v>
      </c>
      <c r="D20" s="8">
        <f t="shared" ref="D20:N20" si="2">AVERAGE(D15:D19)</f>
        <v>0.41937926000000003</v>
      </c>
      <c r="E20" s="9">
        <f t="shared" si="2"/>
        <v>0.48355480000000001</v>
      </c>
      <c r="F20" s="8">
        <f t="shared" si="2"/>
        <v>1.0688648000000001</v>
      </c>
      <c r="G20" s="8">
        <f t="shared" si="2"/>
        <v>0.97245900000000007</v>
      </c>
      <c r="H20" s="9">
        <f t="shared" si="2"/>
        <v>0.93617519999999987</v>
      </c>
      <c r="I20" s="8">
        <f t="shared" si="2"/>
        <v>0.7461116000000001</v>
      </c>
      <c r="J20" s="8">
        <f t="shared" si="2"/>
        <v>0.69543271999999989</v>
      </c>
      <c r="K20" s="9">
        <f t="shared" si="2"/>
        <v>0.62417659999999997</v>
      </c>
      <c r="L20" s="8">
        <f t="shared" si="2"/>
        <v>678.61281159999999</v>
      </c>
      <c r="M20" s="9">
        <f t="shared" si="2"/>
        <v>42.988659639999995</v>
      </c>
      <c r="N20" s="8">
        <f t="shared" si="2"/>
        <v>154.12317360000003</v>
      </c>
      <c r="O20" s="7"/>
    </row>
    <row r="21" spans="1:1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</sheetData>
  <mergeCells count="8">
    <mergeCell ref="F1:H1"/>
    <mergeCell ref="I1:K1"/>
    <mergeCell ref="L1:N1"/>
    <mergeCell ref="A8:B8"/>
    <mergeCell ref="A14:B14"/>
    <mergeCell ref="A20:B20"/>
    <mergeCell ref="A1:B1"/>
    <mergeCell ref="C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dcterms:created xsi:type="dcterms:W3CDTF">2024-02-15T12:39:46Z</dcterms:created>
  <dcterms:modified xsi:type="dcterms:W3CDTF">2025-01-22T11:58:58Z</dcterms:modified>
</cp:coreProperties>
</file>